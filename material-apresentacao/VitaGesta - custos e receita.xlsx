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remissas" sheetId="2" state="visible" r:id="rId2"/>
    <sheet name="Projeção 12 meses" sheetId="3" state="visible" r:id="rId3"/>
    <sheet name="Fon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 #,##0;(&quot;R$&quot; #,##0);&quot;-&quot;"/>
    <numFmt numFmtId="165" formatCode="#,##0;(#,##0);&quot;-&quot;"/>
    <numFmt numFmtId="166" formatCode="&quot;R$&quot; #,##0.00;(&quot;R$&quot; #,##0.00);&quot;-&quot;"/>
  </numFmts>
  <fonts count="9">
    <font>
      <name val="Calibri"/>
      <family val="2"/>
      <color theme="1"/>
      <sz val="11"/>
      <scheme val="minor"/>
    </font>
    <font>
      <name val="Arial"/>
      <b val="1"/>
      <color rgb="00963A51"/>
      <sz val="14"/>
    </font>
    <font>
      <name val="Arial"/>
      <i val="1"/>
      <color rgb="006B5F64"/>
      <sz val="9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  <b val="1"/>
    </font>
    <font>
      <name val="Arial"/>
      <color rgb="00008000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B84C65"/>
      </patternFill>
    </fill>
    <fill>
      <patternFill patternType="solid">
        <fgColor rgb="00FFFF00"/>
      </patternFill>
    </fill>
    <fill>
      <patternFill patternType="solid">
        <fgColor rgb="00FFECED"/>
      </patternFill>
    </fill>
  </fills>
  <borders count="2">
    <border>
      <left/>
      <right/>
      <top/>
      <bottom/>
      <diagonal/>
    </border>
    <border>
      <bottom style="thin">
        <color rgb="00F0D2D6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164" fontId="7" fillId="0" borderId="1" applyAlignment="1" pivotButton="0" quotePrefix="0" xfId="0">
      <alignment horizontal="right"/>
    </xf>
    <xf numFmtId="0" fontId="2" fillId="0" borderId="1" pivotButton="0" quotePrefix="0" xfId="0"/>
    <xf numFmtId="165" fontId="7" fillId="0" borderId="1" applyAlignment="1" pivotButton="0" quotePrefix="0" xfId="0">
      <alignment horizontal="right"/>
    </xf>
    <xf numFmtId="0" fontId="4" fillId="0" borderId="0" pivotButton="0" quotePrefix="0" xfId="0"/>
    <xf numFmtId="164" fontId="7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164" fontId="6" fillId="4" borderId="0" pivotButton="0" quotePrefix="0" xfId="0"/>
    <xf numFmtId="164" fontId="5" fillId="0" borderId="0" pivotButton="0" quotePrefix="0" xfId="0"/>
    <xf numFmtId="164" fontId="4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6" fontId="4" fillId="0" borderId="0" pivotButton="0" quotePrefix="0" xfId="0"/>
    <xf numFmtId="166" fontId="6" fillId="0" borderId="0" pivotButton="0" quotePrefix="0" xfId="0"/>
    <xf numFmtId="0" fontId="5" fillId="3" borderId="0" pivotButton="0" quotePrefix="0" xfId="0"/>
    <xf numFmtId="165" fontId="7" fillId="0" borderId="1" pivotButton="0" quotePrefix="0" xfId="0"/>
    <xf numFmtId="164" fontId="4" fillId="0" borderId="1" pivotButton="0" quotePrefix="0" xfId="0"/>
    <xf numFmtId="164" fontId="7" fillId="0" borderId="1" pivotButton="0" quotePrefix="0" xfId="0"/>
    <xf numFmtId="0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Receita x custo por mês</a:t>
            </a:r>
          </a:p>
        </rich>
      </tx>
    </title>
    <plotArea>
      <lineChart>
        <grouping val="standard"/>
        <ser>
          <idx val="0"/>
          <order val="0"/>
          <tx>
            <strRef>
              <f>'Projeção 12 meses'!E4</f>
            </strRef>
          </tx>
          <spPr>
            <a:ln w="28000">
              <a:solidFill>
                <a:srgbClr val="B84C6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'Projeção 12 meses'!$A$5:$A$16</f>
            </numRef>
          </cat>
          <val>
            <numRef>
              <f>'Projeção 12 meses'!$E$5:$E$16</f>
            </numRef>
          </val>
          <smooth val="0"/>
        </ser>
        <ser>
          <idx val="1"/>
          <order val="1"/>
          <tx>
            <strRef>
              <f>'Projeção 12 meses'!F4</f>
            </strRef>
          </tx>
          <spPr>
            <a:ln w="28000">
              <a:solidFill>
                <a:srgbClr val="5E575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'Projeção 12 meses'!$A$5:$A$16</f>
            </numRef>
          </cat>
          <val>
            <numRef>
              <f>'Projeção 12 meses'!$F$5:$F$16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VitaGesta</author>
  </authors>
  <commentList>
    <comment ref="B30" authorId="0" shapeId="0">
      <text>
        <t>Escolha Pessimista, Base ou Otimista. A aba Projeção 12 meses e o Resumo mudam juntos.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58" customWidth="1" min="3" max="3"/>
    <col width="16" customWidth="1" min="4" max="4"/>
  </cols>
  <sheetData>
    <row r="1">
      <c r="A1" s="1" t="inlineStr">
        <is>
          <t>VitaGesta: resumo para os slides</t>
        </is>
      </c>
      <c r="B1" s="2" t="n"/>
      <c r="C1" s="2" t="n"/>
      <c r="D1" s="2" t="n"/>
    </row>
    <row r="2">
      <c r="A2" s="3">
        <f>"Números calculados a partir da aba Premissas. Cenário da projeção: "&amp;Premissas!B30&amp;"."</f>
        <v/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Indicador</t>
        </is>
      </c>
      <c r="B4" s="5" t="inlineStr">
        <is>
          <t>Valor</t>
        </is>
      </c>
      <c r="C4" s="5" t="inlineStr">
        <is>
          <t>Como é calculado</t>
        </is>
      </c>
      <c r="D4" s="2" t="n"/>
    </row>
    <row r="5">
      <c r="A5" s="6" t="inlineStr">
        <is>
          <t>Investimento na Fase 1 (MVP)</t>
        </is>
      </c>
      <c r="B5" s="7">
        <f>Premissas!D5</f>
        <v/>
      </c>
      <c r="C5" s="8" t="inlineStr">
        <is>
          <t>Média entre R$ 4.000 e R$ 6.000</t>
        </is>
      </c>
      <c r="D5" s="2" t="n"/>
    </row>
    <row r="6">
      <c r="A6" s="6" t="inlineStr">
        <is>
          <t>Investimento na Fase 2 (plataforma completa)</t>
        </is>
      </c>
      <c r="B6" s="7">
        <f>Premissas!D6</f>
        <v/>
      </c>
      <c r="C6" s="8" t="inlineStr">
        <is>
          <t>Média entre R$ 8.000 e R$ 12.000</t>
        </is>
      </c>
      <c r="D6" s="2" t="n"/>
    </row>
    <row r="7">
      <c r="A7" s="6" t="inlineStr">
        <is>
          <t>Custo mensal da operação</t>
        </is>
      </c>
      <c r="B7" s="7">
        <f>Premissas!D14</f>
        <v/>
      </c>
      <c r="C7" s="8" t="inlineStr">
        <is>
          <t>Hospedagem, domínio, manutenção e marketing</t>
        </is>
      </c>
      <c r="D7" s="2" t="n"/>
    </row>
    <row r="8">
      <c r="A8" s="6" t="inlineStr">
        <is>
          <t>Assinantes Pro que pagam a operação</t>
        </is>
      </c>
      <c r="B8" s="9">
        <f>ROUNDUP(Premissas!D14/Premissas!B18,0)</f>
        <v/>
      </c>
      <c r="C8" s="8" t="inlineStr">
        <is>
          <t>Custo mensal ÷ preço do plano Pro, arredondado para cima</t>
        </is>
      </c>
      <c r="D8" s="2" t="n"/>
    </row>
    <row r="9">
      <c r="A9" s="6" t="inlineStr">
        <is>
          <t>Ou gestantes Premium que pagam a operação</t>
        </is>
      </c>
      <c r="B9" s="9">
        <f>ROUNDUP(Premissas!D14/Premissas!B17,0)</f>
        <v/>
      </c>
      <c r="C9" s="8" t="inlineStr">
        <is>
          <t>Custo mensal ÷ preço do Premium, arredondado para cima</t>
        </is>
      </c>
      <c r="D9" s="2" t="n"/>
    </row>
    <row r="10">
      <c r="A10" s="6" t="inlineStr">
        <is>
          <t>Receita no mês 12</t>
        </is>
      </c>
      <c r="B10" s="7">
        <f>'Projeção 12 meses'!E16</f>
        <v/>
      </c>
      <c r="C10" s="8" t="inlineStr">
        <is>
          <t>Receita do último mês da projeção</t>
        </is>
      </c>
      <c r="D10" s="2" t="n"/>
    </row>
    <row r="11">
      <c r="A11" s="6" t="inlineStr">
        <is>
          <t>Receita total em 12 meses</t>
        </is>
      </c>
      <c r="B11" s="7">
        <f>'Projeção 12 meses'!E17</f>
        <v/>
      </c>
      <c r="C11" s="8" t="inlineStr">
        <is>
          <t>Soma da receita dos 12 meses</t>
        </is>
      </c>
      <c r="D11" s="2" t="n"/>
    </row>
    <row r="12">
      <c r="A12" s="6" t="inlineStr">
        <is>
          <t>Resultado acumulado em 12 meses</t>
        </is>
      </c>
      <c r="B12" s="7">
        <f>'Projeção 12 meses'!H16</f>
        <v/>
      </c>
      <c r="C12" s="8" t="inlineStr">
        <is>
          <t>Receita menos custos, já descontado o investimento da Fase 1</t>
        </is>
      </c>
      <c r="D12" s="2" t="n"/>
    </row>
    <row r="13">
      <c r="A13" s="6" t="inlineStr">
        <is>
          <t>Mês em que a receita cobre o custo</t>
        </is>
      </c>
      <c r="B13" s="9">
        <f>IFERROR(MATCH(1,'Projeção 12 meses'!I5:I16,0),"Depois do mês 12")</f>
        <v/>
      </c>
      <c r="C13" s="8" t="inlineStr">
        <is>
          <t>Primeiro mês com resultado do mês positivo</t>
        </is>
      </c>
      <c r="D13" s="2" t="n"/>
    </row>
    <row r="14">
      <c r="A14" s="6" t="inlineStr">
        <is>
          <t>Mês em que o investimento da Fase 1 volta</t>
        </is>
      </c>
      <c r="B14" s="9">
        <f>IFERROR(MATCH(1,'Projeção 12 meses'!J5:J16,0),"Depois do mês 12")</f>
        <v/>
      </c>
      <c r="C14" s="8" t="inlineStr">
        <is>
          <t>Primeiro mês com resultado acumulado positivo</t>
        </is>
      </c>
      <c r="D14" s="2" t="n"/>
    </row>
    <row r="15">
      <c r="A15" s="2" t="n"/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4" t="inlineStr">
        <is>
          <t>Receita no mês 12 por cenário</t>
        </is>
      </c>
      <c r="B17" s="5" t="inlineStr">
        <is>
          <t>Pessimista</t>
        </is>
      </c>
      <c r="C17" s="5" t="inlineStr">
        <is>
          <t>Base</t>
        </is>
      </c>
      <c r="D17" s="5" t="inlineStr">
        <is>
          <t>Otimista</t>
        </is>
      </c>
    </row>
    <row r="18">
      <c r="A18" s="10" t="inlineStr">
        <is>
          <t>Gestantes Premium</t>
        </is>
      </c>
      <c r="B18" s="11">
        <f>Premissas!B24*Premissas!$B$17</f>
        <v/>
      </c>
      <c r="C18" s="11">
        <f>Premissas!C24*Premissas!$B$17</f>
        <v/>
      </c>
      <c r="D18" s="11">
        <f>Premissas!D24*Premissas!$B$17</f>
        <v/>
      </c>
    </row>
    <row r="19">
      <c r="A19" s="10" t="inlineStr">
        <is>
          <t>Nutricionistas Pro</t>
        </is>
      </c>
      <c r="B19" s="11">
        <f>Premissas!B26*Premissas!$B$18</f>
        <v/>
      </c>
      <c r="C19" s="11">
        <f>Premissas!C26*Premissas!$B$18</f>
        <v/>
      </c>
      <c r="D19" s="11">
        <f>Premissas!D26*Premissas!$B$18</f>
        <v/>
      </c>
    </row>
    <row r="20">
      <c r="A20" s="10" t="inlineStr">
        <is>
          <t>Clínicas</t>
        </is>
      </c>
      <c r="B20" s="11">
        <f>Premissas!B28*Premissas!$B$19</f>
        <v/>
      </c>
      <c r="C20" s="11">
        <f>Premissas!C28*Premissas!$B$19</f>
        <v/>
      </c>
      <c r="D20" s="11">
        <f>Premissas!D28*Premissas!$B$19</f>
        <v/>
      </c>
    </row>
    <row r="21">
      <c r="A21" s="12" t="inlineStr">
        <is>
          <t>Receita mensal</t>
        </is>
      </c>
      <c r="B21" s="13">
        <f>SUM(B18:B20)</f>
        <v/>
      </c>
      <c r="C21" s="13">
        <f>SUM(C18:C20)</f>
        <v/>
      </c>
      <c r="D21" s="13">
        <f>SUM(D18:D20)</f>
        <v/>
      </c>
    </row>
    <row r="22">
      <c r="A22" s="10" t="inlineStr">
        <is>
          <t>Menos o custo mensal</t>
        </is>
      </c>
      <c r="B22" s="11">
        <f>-Premissas!$D$14</f>
        <v/>
      </c>
      <c r="C22" s="11">
        <f>-Premissas!$D$14</f>
        <v/>
      </c>
      <c r="D22" s="11">
        <f>-Premissas!$D$14</f>
        <v/>
      </c>
    </row>
    <row r="23">
      <c r="A23" s="12" t="inlineStr">
        <is>
          <t>Resultado mensal no mês 12</t>
        </is>
      </c>
      <c r="B23" s="14">
        <f>B21+B22</f>
        <v/>
      </c>
      <c r="C23" s="14">
        <f>C21+C22</f>
        <v/>
      </c>
      <c r="D23" s="14">
        <f>D21+D22</f>
        <v/>
      </c>
    </row>
    <row r="24">
      <c r="A24" s="2" t="n"/>
      <c r="B24" s="2" t="n"/>
      <c r="C24" s="2" t="n"/>
      <c r="D24" s="2" t="n"/>
    </row>
    <row r="25">
      <c r="A25" s="3" t="inlineStr">
        <is>
          <t>Princípio do modelo: a busca de profissionais ordena só por distância e avaliação. O plano pago dá ferramentas, nunca posição na lista.</t>
        </is>
      </c>
      <c r="B25" s="2" t="n"/>
      <c r="C25" s="2" t="n"/>
      <c r="D2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8" customWidth="1" min="3" max="3"/>
    <col width="20" customWidth="1" min="4" max="4"/>
    <col width="52" customWidth="1" min="5" max="5"/>
  </cols>
  <sheetData>
    <row r="1">
      <c r="A1" s="1" t="inlineStr">
        <is>
          <t>VitaGesta: premissas de custos e receita</t>
        </is>
      </c>
      <c r="B1" s="2" t="n"/>
      <c r="C1" s="2" t="n"/>
      <c r="D1" s="2" t="n"/>
      <c r="E1" s="2" t="n"/>
    </row>
    <row r="2">
      <c r="A2" s="3" t="inlineStr">
        <is>
          <t>Células em azul são editáveis. Em amarelo, o cenário usado na projeção. Valores em reais (R$).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4" t="inlineStr">
        <is>
          <t>Investimento inicial</t>
        </is>
      </c>
      <c r="B4" s="5" t="inlineStr">
        <is>
          <t>Mínimo (R$)</t>
        </is>
      </c>
      <c r="C4" s="5" t="inlineStr">
        <is>
          <t>Máximo (R$)</t>
        </is>
      </c>
      <c r="D4" s="5" t="inlineStr">
        <is>
          <t>Valor usado (R$)</t>
        </is>
      </c>
      <c r="E4" s="5" t="inlineStr">
        <is>
          <t>Fonte</t>
        </is>
      </c>
    </row>
    <row r="5">
      <c r="A5" s="10" t="inlineStr">
        <is>
          <t>Fase 1: MVP (site, calculadora, painel)</t>
        </is>
      </c>
      <c r="B5" s="15" t="n">
        <v>4000</v>
      </c>
      <c r="C5" s="15" t="n">
        <v>6000</v>
      </c>
      <c r="D5" s="16">
        <f>AVERAGE(B5:C5)</f>
        <v/>
      </c>
      <c r="E5" s="3" t="inlineStr">
        <is>
          <t>Pesquisa de mercado do grupo, Goiânia, 2026</t>
        </is>
      </c>
    </row>
    <row r="6">
      <c r="A6" s="10" t="inlineStr">
        <is>
          <t>Fase 2: plataforma completa (contas, agenda, app)</t>
        </is>
      </c>
      <c r="B6" s="15" t="n">
        <v>8000</v>
      </c>
      <c r="C6" s="15" t="n">
        <v>12000</v>
      </c>
      <c r="D6" s="16">
        <f>AVERAGE(B6:C6)</f>
        <v/>
      </c>
      <c r="E6" s="3" t="inlineStr">
        <is>
          <t>Pesquisa de mercado do grupo, Goiânia, 2026</t>
        </is>
      </c>
    </row>
    <row r="7">
      <c r="A7" s="12" t="inlineStr">
        <is>
          <t>Total do investimento</t>
        </is>
      </c>
      <c r="B7" s="2" t="n"/>
      <c r="C7" s="2" t="n"/>
      <c r="D7" s="13">
        <f>SUM(D5:D6)</f>
        <v/>
      </c>
      <c r="E7" s="3" t="inlineStr">
        <is>
          <t>Valor usado = média entre mínimo e máximo</t>
        </is>
      </c>
    </row>
    <row r="8">
      <c r="A8" s="2" t="n"/>
      <c r="B8" s="2" t="n"/>
      <c r="C8" s="2" t="n"/>
      <c r="D8" s="2" t="n"/>
      <c r="E8" s="2" t="n"/>
    </row>
    <row r="9">
      <c r="A9" s="4" t="inlineStr">
        <is>
          <t>Custo mensal da operação</t>
        </is>
      </c>
      <c r="B9" s="5" t="inlineStr">
        <is>
          <t>Quantidade</t>
        </is>
      </c>
      <c r="C9" s="5" t="inlineStr">
        <is>
          <t>Valor unitário (R$)</t>
        </is>
      </c>
      <c r="D9" s="5" t="inlineStr">
        <is>
          <t>Total por mês (R$)</t>
        </is>
      </c>
      <c r="E9" s="5" t="inlineStr">
        <is>
          <t>Fonte</t>
        </is>
      </c>
    </row>
    <row r="10">
      <c r="A10" s="10" t="inlineStr">
        <is>
          <t>Hospedagem (Hostinger, PHP + MySQL)</t>
        </is>
      </c>
      <c r="B10" s="17" t="n">
        <v>1</v>
      </c>
      <c r="C10" s="18" t="n">
        <v>150</v>
      </c>
      <c r="D10" s="19">
        <f>B10*C10</f>
        <v/>
      </c>
      <c r="E10" s="3" t="inlineStr">
        <is>
          <t>Faixa pesquisada: R$ 50 a 300 por mês</t>
        </is>
      </c>
    </row>
    <row r="11">
      <c r="A11" s="10" t="inlineStr">
        <is>
          <t>Domínio .com.br (R$ 70 por ano, rateado)</t>
        </is>
      </c>
      <c r="B11" s="17" t="n">
        <v>1</v>
      </c>
      <c r="C11" s="18">
        <f>70/12</f>
        <v/>
      </c>
      <c r="D11" s="19">
        <f>B11*C11</f>
        <v/>
      </c>
      <c r="E11" s="3" t="inlineStr">
        <is>
          <t>Faixa pesquisada: R$ 40 a 100 por ano</t>
        </is>
      </c>
    </row>
    <row r="12">
      <c r="A12" s="10" t="inlineStr">
        <is>
          <t>Manutenção e suporte técnico (horas de freela)</t>
        </is>
      </c>
      <c r="B12" s="17" t="n">
        <v>6</v>
      </c>
      <c r="C12" s="18" t="n">
        <v>100</v>
      </c>
      <c r="D12" s="19">
        <f>B12*C12</f>
        <v/>
      </c>
      <c r="E12" s="3" t="inlineStr">
        <is>
          <t>Faixa pesquisada: R$ 80 a 120 por hora</t>
        </is>
      </c>
    </row>
    <row r="13">
      <c r="A13" s="10" t="inlineStr">
        <is>
          <t>Marketing digital (anúncios e redes sociais)</t>
        </is>
      </c>
      <c r="B13" s="17" t="n">
        <v>1</v>
      </c>
      <c r="C13" s="18" t="n">
        <v>200</v>
      </c>
      <c r="D13" s="19">
        <f>B13*C13</f>
        <v/>
      </c>
      <c r="E13" s="3" t="inlineStr">
        <is>
          <t>Hipótese do grupo</t>
        </is>
      </c>
    </row>
    <row r="14">
      <c r="A14" s="12" t="inlineStr">
        <is>
          <t>Custo mensal total</t>
        </is>
      </c>
      <c r="B14" s="2" t="n"/>
      <c r="C14" s="2" t="n"/>
      <c r="D14" s="20">
        <f>SUM(D10:D13)</f>
        <v/>
      </c>
      <c r="E14" s="3" t="inlineStr">
        <is>
          <t>A pesquisa do grupo estimou R$ 800 a 1.200 por mês</t>
        </is>
      </c>
    </row>
    <row r="15">
      <c r="A15" s="2" t="n"/>
      <c r="B15" s="2" t="n"/>
      <c r="C15" s="2" t="n"/>
      <c r="D15" s="2" t="n"/>
      <c r="E15" s="2" t="n"/>
    </row>
    <row r="16">
      <c r="A16" s="4" t="inlineStr">
        <is>
          <t>Preços (por mês)</t>
        </is>
      </c>
      <c r="B16" s="5" t="inlineStr">
        <is>
          <t>Preço (R$)</t>
        </is>
      </c>
      <c r="C16" s="5" t="inlineStr"/>
      <c r="D16" s="5" t="inlineStr"/>
      <c r="E16" s="5" t="inlineStr">
        <is>
          <t>Fonte</t>
        </is>
      </c>
    </row>
    <row r="17">
      <c r="A17" s="10" t="inlineStr">
        <is>
          <t>Gestante Premium</t>
        </is>
      </c>
      <c r="B17" s="18" t="n">
        <v>14.9</v>
      </c>
      <c r="C17" s="2" t="n"/>
      <c r="D17" s="2" t="n"/>
      <c r="E17" s="3" t="inlineStr">
        <is>
          <t>Modelo de receita definido pelo grupo</t>
        </is>
      </c>
    </row>
    <row r="18">
      <c r="A18" s="10" t="inlineStr">
        <is>
          <t>Nutricionista Pro</t>
        </is>
      </c>
      <c r="B18" s="18" t="n">
        <v>79</v>
      </c>
      <c r="C18" s="2" t="n"/>
      <c r="D18" s="2" t="n"/>
      <c r="E18" s="3" t="inlineStr">
        <is>
          <t>Modelo de receita definido pelo grupo</t>
        </is>
      </c>
    </row>
    <row r="19">
      <c r="A19" s="10" t="inlineStr">
        <is>
          <t>Clínica (até 5 profissionais)</t>
        </is>
      </c>
      <c r="B19" s="18" t="n">
        <v>199</v>
      </c>
      <c r="C19" s="2" t="n"/>
      <c r="D19" s="2" t="n"/>
      <c r="E19" s="3" t="inlineStr">
        <is>
          <t>Modelo de receita definido pelo grupo</t>
        </is>
      </c>
    </row>
    <row r="20">
      <c r="A20" s="3" t="inlineStr">
        <is>
          <t>Gestante Essencial e Nutricionista Básico são gratuitos e não entram na receita.</t>
        </is>
      </c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4" t="inlineStr">
        <is>
          <t>Assinantes pagantes (hipótese)</t>
        </is>
      </c>
      <c r="B22" s="5" t="inlineStr">
        <is>
          <t>Pessimista</t>
        </is>
      </c>
      <c r="C22" s="5" t="inlineStr">
        <is>
          <t>Base</t>
        </is>
      </c>
      <c r="D22" s="5" t="inlineStr">
        <is>
          <t>Otimista</t>
        </is>
      </c>
      <c r="E22" s="5" t="inlineStr">
        <is>
          <t>Observação</t>
        </is>
      </c>
    </row>
    <row r="23">
      <c r="A23" s="10" t="inlineStr">
        <is>
          <t>Gestantes Premium no mês 1</t>
        </is>
      </c>
      <c r="B23" s="17" t="n">
        <v>5</v>
      </c>
      <c r="C23" s="17" t="n">
        <v>10</v>
      </c>
      <c r="D23" s="17" t="n">
        <v>20</v>
      </c>
      <c r="E23" s="3" t="inlineStr">
        <is>
          <t>Hipótese do grupo; cresce em linha reta do mês 1 ao mês 12</t>
        </is>
      </c>
    </row>
    <row r="24">
      <c r="A24" s="10" t="inlineStr">
        <is>
          <t>Gestantes Premium no mês 12</t>
        </is>
      </c>
      <c r="B24" s="17" t="n">
        <v>40</v>
      </c>
      <c r="C24" s="17" t="n">
        <v>120</v>
      </c>
      <c r="D24" s="17" t="n">
        <v>300</v>
      </c>
      <c r="E24" s="3" t="inlineStr">
        <is>
          <t>Hipótese do grupo; cresce em linha reta do mês 1 ao mês 12</t>
        </is>
      </c>
    </row>
    <row r="25">
      <c r="A25" s="10" t="inlineStr">
        <is>
          <t>Nutricionistas Pro no mês 1</t>
        </is>
      </c>
      <c r="B25" s="17" t="n">
        <v>2</v>
      </c>
      <c r="C25" s="17" t="n">
        <v>4</v>
      </c>
      <c r="D25" s="17" t="n">
        <v>6</v>
      </c>
      <c r="E25" s="3" t="inlineStr">
        <is>
          <t>Hipótese do grupo; cresce em linha reta do mês 1 ao mês 12</t>
        </is>
      </c>
    </row>
    <row r="26">
      <c r="A26" s="10" t="inlineStr">
        <is>
          <t>Nutricionistas Pro no mês 12</t>
        </is>
      </c>
      <c r="B26" s="17" t="n">
        <v>12</v>
      </c>
      <c r="C26" s="17" t="n">
        <v>25</v>
      </c>
      <c r="D26" s="17" t="n">
        <v>50</v>
      </c>
      <c r="E26" s="3" t="inlineStr">
        <is>
          <t>Hipótese do grupo; cresce em linha reta do mês 1 ao mês 12</t>
        </is>
      </c>
    </row>
    <row r="27">
      <c r="A27" s="10" t="inlineStr">
        <is>
          <t>Clínicas no mês 1</t>
        </is>
      </c>
      <c r="B27" s="17" t="n">
        <v>0</v>
      </c>
      <c r="C27" s="17" t="n">
        <v>0</v>
      </c>
      <c r="D27" s="17" t="n">
        <v>1</v>
      </c>
      <c r="E27" s="3" t="inlineStr">
        <is>
          <t>Hipótese do grupo; cresce em linha reta do mês 1 ao mês 12</t>
        </is>
      </c>
    </row>
    <row r="28">
      <c r="A28" s="10" t="inlineStr">
        <is>
          <t>Clínicas no mês 12</t>
        </is>
      </c>
      <c r="B28" s="17" t="n">
        <v>1</v>
      </c>
      <c r="C28" s="17" t="n">
        <v>3</v>
      </c>
      <c r="D28" s="17" t="n">
        <v>6</v>
      </c>
      <c r="E28" s="3" t="inlineStr">
        <is>
          <t>Hipótese do grupo; cresce em linha reta do mês 1 ao mês 12</t>
        </is>
      </c>
    </row>
    <row r="29">
      <c r="A29" s="2" t="n"/>
      <c r="B29" s="2" t="n"/>
      <c r="C29" s="2" t="n"/>
      <c r="D29" s="2" t="n"/>
      <c r="E29" s="2" t="n"/>
    </row>
    <row r="30">
      <c r="A30" s="12" t="inlineStr">
        <is>
          <t>Cenário usado na projeção</t>
        </is>
      </c>
      <c r="B30" s="21" t="inlineStr">
        <is>
          <t>Base</t>
        </is>
      </c>
      <c r="C30" s="10">
        <f>MATCH(B30,B22:D22,0)</f>
        <v/>
      </c>
      <c r="D30" s="3" t="inlineStr">
        <is>
          <t>← coluna do cenário (1 a 3)</t>
        </is>
      </c>
      <c r="E30" s="2" t="n"/>
    </row>
  </sheetData>
  <dataValidations count="1">
    <dataValidation sqref="B30" showDropDown="0" showInputMessage="0" showErrorMessage="0" allowBlank="0" type="list">
      <formula1>"Pessimista,Base,Otimista"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1" customWidth="1" min="4" max="4"/>
    <col width="15" customWidth="1" min="5" max="5"/>
    <col width="14" customWidth="1" min="6" max="6"/>
    <col width="17" customWidth="1" min="7" max="7"/>
    <col width="19" customWidth="1" min="8" max="8"/>
    <col width="14" customWidth="1" min="9" max="9"/>
    <col width="18" customWidth="1" min="10" max="10"/>
  </cols>
  <sheetData>
    <row r="1">
      <c r="A1" s="1" t="inlineStr">
        <is>
          <t>Projeção de 12 meses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>
        <f>"Cenário: "&amp;Premissas!B30&amp;". Assinantes crescem em linha reta entre o mês 1 e o mês 12. Resultado acumulado parte do investimento da Fase 1."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2" customHeight="1">
      <c r="A4" s="4" t="inlineStr">
        <is>
          <t>Mês</t>
        </is>
      </c>
      <c r="B4" s="5" t="inlineStr">
        <is>
          <t>Gestantes Premium</t>
        </is>
      </c>
      <c r="C4" s="5" t="inlineStr">
        <is>
          <t>Nutricionistas Pro</t>
        </is>
      </c>
      <c r="D4" s="5" t="inlineStr">
        <is>
          <t>Clínicas</t>
        </is>
      </c>
      <c r="E4" s="5" t="inlineStr">
        <is>
          <t>Receita (R$)</t>
        </is>
      </c>
      <c r="F4" s="5" t="inlineStr">
        <is>
          <t>Custo (R$)</t>
        </is>
      </c>
      <c r="G4" s="5" t="inlineStr">
        <is>
          <t>Resultado do mês (R$)</t>
        </is>
      </c>
      <c r="H4" s="5" t="inlineStr">
        <is>
          <t>Resultado acumulado (R$)</t>
        </is>
      </c>
      <c r="I4" s="5" t="inlineStr">
        <is>
          <t>Mês se paga? (1 = sim)</t>
        </is>
      </c>
      <c r="J4" s="5" t="inlineStr">
        <is>
          <t>Investimento recuperado? (1 = sim)</t>
        </is>
      </c>
    </row>
    <row r="5">
      <c r="A5" s="6" t="n">
        <v>1</v>
      </c>
      <c r="B5" s="22">
        <f>ROUND(INDEX(Premissas!$B$23:$D$23,Premissas!$C$30)+(INDEX(Premissas!$B$24:$D$24,Premissas!$C$30)-INDEX(Premissas!$B$23:$D$23,Premissas!$C$30))*(A5-1)/11,0)</f>
        <v/>
      </c>
      <c r="C5" s="22">
        <f>ROUND(INDEX(Premissas!$B$25:$D$25,Premissas!$C$30)+(INDEX(Premissas!$B$26:$D$26,Premissas!$C$30)-INDEX(Premissas!$B$25:$D$25,Premissas!$C$30))*(A5-1)/11,0)</f>
        <v/>
      </c>
      <c r="D5" s="22">
        <f>ROUND(INDEX(Premissas!$B$27:$D$27,Premissas!$C$30)+(INDEX(Premissas!$B$28:$D$28,Premissas!$C$30)-INDEX(Premissas!$B$27:$D$27,Premissas!$C$30))*(A5-1)/11,0)</f>
        <v/>
      </c>
      <c r="E5" s="23">
        <f>B5*Premissas!$B$17+C5*Premissas!$B$18+D5*Premissas!$B$19</f>
        <v/>
      </c>
      <c r="F5" s="24">
        <f>Premissas!$D$14</f>
        <v/>
      </c>
      <c r="G5" s="23">
        <f>E5-F5</f>
        <v/>
      </c>
      <c r="H5" s="23">
        <f>G5-Premissas!$D$5</f>
        <v/>
      </c>
      <c r="I5" s="25">
        <f>IF(G5&gt;=0,1,0)</f>
        <v/>
      </c>
      <c r="J5" s="25">
        <f>IF(H5&gt;=0,1,0)</f>
        <v/>
      </c>
    </row>
    <row r="6">
      <c r="A6" s="6" t="n">
        <v>2</v>
      </c>
      <c r="B6" s="22">
        <f>ROUND(INDEX(Premissas!$B$23:$D$23,Premissas!$C$30)+(INDEX(Premissas!$B$24:$D$24,Premissas!$C$30)-INDEX(Premissas!$B$23:$D$23,Premissas!$C$30))*(A6-1)/11,0)</f>
        <v/>
      </c>
      <c r="C6" s="22">
        <f>ROUND(INDEX(Premissas!$B$25:$D$25,Premissas!$C$30)+(INDEX(Premissas!$B$26:$D$26,Premissas!$C$30)-INDEX(Premissas!$B$25:$D$25,Premissas!$C$30))*(A6-1)/11,0)</f>
        <v/>
      </c>
      <c r="D6" s="22">
        <f>ROUND(INDEX(Premissas!$B$27:$D$27,Premissas!$C$30)+(INDEX(Premissas!$B$28:$D$28,Premissas!$C$30)-INDEX(Premissas!$B$27:$D$27,Premissas!$C$30))*(A6-1)/11,0)</f>
        <v/>
      </c>
      <c r="E6" s="23">
        <f>B6*Premissas!$B$17+C6*Premissas!$B$18+D6*Premissas!$B$19</f>
        <v/>
      </c>
      <c r="F6" s="24">
        <f>Premissas!$D$14</f>
        <v/>
      </c>
      <c r="G6" s="23">
        <f>E6-F6</f>
        <v/>
      </c>
      <c r="H6" s="23">
        <f>H5+G6</f>
        <v/>
      </c>
      <c r="I6" s="25">
        <f>IF(G6&gt;=0,1,0)</f>
        <v/>
      </c>
      <c r="J6" s="25">
        <f>IF(H6&gt;=0,1,0)</f>
        <v/>
      </c>
    </row>
    <row r="7">
      <c r="A7" s="6" t="n">
        <v>3</v>
      </c>
      <c r="B7" s="22">
        <f>ROUND(INDEX(Premissas!$B$23:$D$23,Premissas!$C$30)+(INDEX(Premissas!$B$24:$D$24,Premissas!$C$30)-INDEX(Premissas!$B$23:$D$23,Premissas!$C$30))*(A7-1)/11,0)</f>
        <v/>
      </c>
      <c r="C7" s="22">
        <f>ROUND(INDEX(Premissas!$B$25:$D$25,Premissas!$C$30)+(INDEX(Premissas!$B$26:$D$26,Premissas!$C$30)-INDEX(Premissas!$B$25:$D$25,Premissas!$C$30))*(A7-1)/11,0)</f>
        <v/>
      </c>
      <c r="D7" s="22">
        <f>ROUND(INDEX(Premissas!$B$27:$D$27,Premissas!$C$30)+(INDEX(Premissas!$B$28:$D$28,Premissas!$C$30)-INDEX(Premissas!$B$27:$D$27,Premissas!$C$30))*(A7-1)/11,0)</f>
        <v/>
      </c>
      <c r="E7" s="23">
        <f>B7*Premissas!$B$17+C7*Premissas!$B$18+D7*Premissas!$B$19</f>
        <v/>
      </c>
      <c r="F7" s="24">
        <f>Premissas!$D$14</f>
        <v/>
      </c>
      <c r="G7" s="23">
        <f>E7-F7</f>
        <v/>
      </c>
      <c r="H7" s="23">
        <f>H6+G7</f>
        <v/>
      </c>
      <c r="I7" s="25">
        <f>IF(G7&gt;=0,1,0)</f>
        <v/>
      </c>
      <c r="J7" s="25">
        <f>IF(H7&gt;=0,1,0)</f>
        <v/>
      </c>
    </row>
    <row r="8">
      <c r="A8" s="6" t="n">
        <v>4</v>
      </c>
      <c r="B8" s="22">
        <f>ROUND(INDEX(Premissas!$B$23:$D$23,Premissas!$C$30)+(INDEX(Premissas!$B$24:$D$24,Premissas!$C$30)-INDEX(Premissas!$B$23:$D$23,Premissas!$C$30))*(A8-1)/11,0)</f>
        <v/>
      </c>
      <c r="C8" s="22">
        <f>ROUND(INDEX(Premissas!$B$25:$D$25,Premissas!$C$30)+(INDEX(Premissas!$B$26:$D$26,Premissas!$C$30)-INDEX(Premissas!$B$25:$D$25,Premissas!$C$30))*(A8-1)/11,0)</f>
        <v/>
      </c>
      <c r="D8" s="22">
        <f>ROUND(INDEX(Premissas!$B$27:$D$27,Premissas!$C$30)+(INDEX(Premissas!$B$28:$D$28,Premissas!$C$30)-INDEX(Premissas!$B$27:$D$27,Premissas!$C$30))*(A8-1)/11,0)</f>
        <v/>
      </c>
      <c r="E8" s="23">
        <f>B8*Premissas!$B$17+C8*Premissas!$B$18+D8*Premissas!$B$19</f>
        <v/>
      </c>
      <c r="F8" s="24">
        <f>Premissas!$D$14</f>
        <v/>
      </c>
      <c r="G8" s="23">
        <f>E8-F8</f>
        <v/>
      </c>
      <c r="H8" s="23">
        <f>H7+G8</f>
        <v/>
      </c>
      <c r="I8" s="25">
        <f>IF(G8&gt;=0,1,0)</f>
        <v/>
      </c>
      <c r="J8" s="25">
        <f>IF(H8&gt;=0,1,0)</f>
        <v/>
      </c>
    </row>
    <row r="9">
      <c r="A9" s="6" t="n">
        <v>5</v>
      </c>
      <c r="B9" s="22">
        <f>ROUND(INDEX(Premissas!$B$23:$D$23,Premissas!$C$30)+(INDEX(Premissas!$B$24:$D$24,Premissas!$C$30)-INDEX(Premissas!$B$23:$D$23,Premissas!$C$30))*(A9-1)/11,0)</f>
        <v/>
      </c>
      <c r="C9" s="22">
        <f>ROUND(INDEX(Premissas!$B$25:$D$25,Premissas!$C$30)+(INDEX(Premissas!$B$26:$D$26,Premissas!$C$30)-INDEX(Premissas!$B$25:$D$25,Premissas!$C$30))*(A9-1)/11,0)</f>
        <v/>
      </c>
      <c r="D9" s="22">
        <f>ROUND(INDEX(Premissas!$B$27:$D$27,Premissas!$C$30)+(INDEX(Premissas!$B$28:$D$28,Premissas!$C$30)-INDEX(Premissas!$B$27:$D$27,Premissas!$C$30))*(A9-1)/11,0)</f>
        <v/>
      </c>
      <c r="E9" s="23">
        <f>B9*Premissas!$B$17+C9*Premissas!$B$18+D9*Premissas!$B$19</f>
        <v/>
      </c>
      <c r="F9" s="24">
        <f>Premissas!$D$14</f>
        <v/>
      </c>
      <c r="G9" s="23">
        <f>E9-F9</f>
        <v/>
      </c>
      <c r="H9" s="23">
        <f>H8+G9</f>
        <v/>
      </c>
      <c r="I9" s="25">
        <f>IF(G9&gt;=0,1,0)</f>
        <v/>
      </c>
      <c r="J9" s="25">
        <f>IF(H9&gt;=0,1,0)</f>
        <v/>
      </c>
    </row>
    <row r="10">
      <c r="A10" s="6" t="n">
        <v>6</v>
      </c>
      <c r="B10" s="22">
        <f>ROUND(INDEX(Premissas!$B$23:$D$23,Premissas!$C$30)+(INDEX(Premissas!$B$24:$D$24,Premissas!$C$30)-INDEX(Premissas!$B$23:$D$23,Premissas!$C$30))*(A10-1)/11,0)</f>
        <v/>
      </c>
      <c r="C10" s="22">
        <f>ROUND(INDEX(Premissas!$B$25:$D$25,Premissas!$C$30)+(INDEX(Premissas!$B$26:$D$26,Premissas!$C$30)-INDEX(Premissas!$B$25:$D$25,Premissas!$C$30))*(A10-1)/11,0)</f>
        <v/>
      </c>
      <c r="D10" s="22">
        <f>ROUND(INDEX(Premissas!$B$27:$D$27,Premissas!$C$30)+(INDEX(Premissas!$B$28:$D$28,Premissas!$C$30)-INDEX(Premissas!$B$27:$D$27,Premissas!$C$30))*(A10-1)/11,0)</f>
        <v/>
      </c>
      <c r="E10" s="23">
        <f>B10*Premissas!$B$17+C10*Premissas!$B$18+D10*Premissas!$B$19</f>
        <v/>
      </c>
      <c r="F10" s="24">
        <f>Premissas!$D$14</f>
        <v/>
      </c>
      <c r="G10" s="23">
        <f>E10-F10</f>
        <v/>
      </c>
      <c r="H10" s="23">
        <f>H9+G10</f>
        <v/>
      </c>
      <c r="I10" s="25">
        <f>IF(G10&gt;=0,1,0)</f>
        <v/>
      </c>
      <c r="J10" s="25">
        <f>IF(H10&gt;=0,1,0)</f>
        <v/>
      </c>
    </row>
    <row r="11">
      <c r="A11" s="6" t="n">
        <v>7</v>
      </c>
      <c r="B11" s="22">
        <f>ROUND(INDEX(Premissas!$B$23:$D$23,Premissas!$C$30)+(INDEX(Premissas!$B$24:$D$24,Premissas!$C$30)-INDEX(Premissas!$B$23:$D$23,Premissas!$C$30))*(A11-1)/11,0)</f>
        <v/>
      </c>
      <c r="C11" s="22">
        <f>ROUND(INDEX(Premissas!$B$25:$D$25,Premissas!$C$30)+(INDEX(Premissas!$B$26:$D$26,Premissas!$C$30)-INDEX(Premissas!$B$25:$D$25,Premissas!$C$30))*(A11-1)/11,0)</f>
        <v/>
      </c>
      <c r="D11" s="22">
        <f>ROUND(INDEX(Premissas!$B$27:$D$27,Premissas!$C$30)+(INDEX(Premissas!$B$28:$D$28,Premissas!$C$30)-INDEX(Premissas!$B$27:$D$27,Premissas!$C$30))*(A11-1)/11,0)</f>
        <v/>
      </c>
      <c r="E11" s="23">
        <f>B11*Premissas!$B$17+C11*Premissas!$B$18+D11*Premissas!$B$19</f>
        <v/>
      </c>
      <c r="F11" s="24">
        <f>Premissas!$D$14</f>
        <v/>
      </c>
      <c r="G11" s="23">
        <f>E11-F11</f>
        <v/>
      </c>
      <c r="H11" s="23">
        <f>H10+G11</f>
        <v/>
      </c>
      <c r="I11" s="25">
        <f>IF(G11&gt;=0,1,0)</f>
        <v/>
      </c>
      <c r="J11" s="25">
        <f>IF(H11&gt;=0,1,0)</f>
        <v/>
      </c>
    </row>
    <row r="12">
      <c r="A12" s="6" t="n">
        <v>8</v>
      </c>
      <c r="B12" s="22">
        <f>ROUND(INDEX(Premissas!$B$23:$D$23,Premissas!$C$30)+(INDEX(Premissas!$B$24:$D$24,Premissas!$C$30)-INDEX(Premissas!$B$23:$D$23,Premissas!$C$30))*(A12-1)/11,0)</f>
        <v/>
      </c>
      <c r="C12" s="22">
        <f>ROUND(INDEX(Premissas!$B$25:$D$25,Premissas!$C$30)+(INDEX(Premissas!$B$26:$D$26,Premissas!$C$30)-INDEX(Premissas!$B$25:$D$25,Premissas!$C$30))*(A12-1)/11,0)</f>
        <v/>
      </c>
      <c r="D12" s="22">
        <f>ROUND(INDEX(Premissas!$B$27:$D$27,Premissas!$C$30)+(INDEX(Premissas!$B$28:$D$28,Premissas!$C$30)-INDEX(Premissas!$B$27:$D$27,Premissas!$C$30))*(A12-1)/11,0)</f>
        <v/>
      </c>
      <c r="E12" s="23">
        <f>B12*Premissas!$B$17+C12*Premissas!$B$18+D12*Premissas!$B$19</f>
        <v/>
      </c>
      <c r="F12" s="24">
        <f>Premissas!$D$14</f>
        <v/>
      </c>
      <c r="G12" s="23">
        <f>E12-F12</f>
        <v/>
      </c>
      <c r="H12" s="23">
        <f>H11+G12</f>
        <v/>
      </c>
      <c r="I12" s="25">
        <f>IF(G12&gt;=0,1,0)</f>
        <v/>
      </c>
      <c r="J12" s="25">
        <f>IF(H12&gt;=0,1,0)</f>
        <v/>
      </c>
    </row>
    <row r="13">
      <c r="A13" s="6" t="n">
        <v>9</v>
      </c>
      <c r="B13" s="22">
        <f>ROUND(INDEX(Premissas!$B$23:$D$23,Premissas!$C$30)+(INDEX(Premissas!$B$24:$D$24,Premissas!$C$30)-INDEX(Premissas!$B$23:$D$23,Premissas!$C$30))*(A13-1)/11,0)</f>
        <v/>
      </c>
      <c r="C13" s="22">
        <f>ROUND(INDEX(Premissas!$B$25:$D$25,Premissas!$C$30)+(INDEX(Premissas!$B$26:$D$26,Premissas!$C$30)-INDEX(Premissas!$B$25:$D$25,Premissas!$C$30))*(A13-1)/11,0)</f>
        <v/>
      </c>
      <c r="D13" s="22">
        <f>ROUND(INDEX(Premissas!$B$27:$D$27,Premissas!$C$30)+(INDEX(Premissas!$B$28:$D$28,Premissas!$C$30)-INDEX(Premissas!$B$27:$D$27,Premissas!$C$30))*(A13-1)/11,0)</f>
        <v/>
      </c>
      <c r="E13" s="23">
        <f>B13*Premissas!$B$17+C13*Premissas!$B$18+D13*Premissas!$B$19</f>
        <v/>
      </c>
      <c r="F13" s="24">
        <f>Premissas!$D$14</f>
        <v/>
      </c>
      <c r="G13" s="23">
        <f>E13-F13</f>
        <v/>
      </c>
      <c r="H13" s="23">
        <f>H12+G13</f>
        <v/>
      </c>
      <c r="I13" s="25">
        <f>IF(G13&gt;=0,1,0)</f>
        <v/>
      </c>
      <c r="J13" s="25">
        <f>IF(H13&gt;=0,1,0)</f>
        <v/>
      </c>
    </row>
    <row r="14">
      <c r="A14" s="6" t="n">
        <v>10</v>
      </c>
      <c r="B14" s="22">
        <f>ROUND(INDEX(Premissas!$B$23:$D$23,Premissas!$C$30)+(INDEX(Premissas!$B$24:$D$24,Premissas!$C$30)-INDEX(Premissas!$B$23:$D$23,Premissas!$C$30))*(A14-1)/11,0)</f>
        <v/>
      </c>
      <c r="C14" s="22">
        <f>ROUND(INDEX(Premissas!$B$25:$D$25,Premissas!$C$30)+(INDEX(Premissas!$B$26:$D$26,Premissas!$C$30)-INDEX(Premissas!$B$25:$D$25,Premissas!$C$30))*(A14-1)/11,0)</f>
        <v/>
      </c>
      <c r="D14" s="22">
        <f>ROUND(INDEX(Premissas!$B$27:$D$27,Premissas!$C$30)+(INDEX(Premissas!$B$28:$D$28,Premissas!$C$30)-INDEX(Premissas!$B$27:$D$27,Premissas!$C$30))*(A14-1)/11,0)</f>
        <v/>
      </c>
      <c r="E14" s="23">
        <f>B14*Premissas!$B$17+C14*Premissas!$B$18+D14*Premissas!$B$19</f>
        <v/>
      </c>
      <c r="F14" s="24">
        <f>Premissas!$D$14</f>
        <v/>
      </c>
      <c r="G14" s="23">
        <f>E14-F14</f>
        <v/>
      </c>
      <c r="H14" s="23">
        <f>H13+G14</f>
        <v/>
      </c>
      <c r="I14" s="25">
        <f>IF(G14&gt;=0,1,0)</f>
        <v/>
      </c>
      <c r="J14" s="25">
        <f>IF(H14&gt;=0,1,0)</f>
        <v/>
      </c>
    </row>
    <row r="15">
      <c r="A15" s="6" t="n">
        <v>11</v>
      </c>
      <c r="B15" s="22">
        <f>ROUND(INDEX(Premissas!$B$23:$D$23,Premissas!$C$30)+(INDEX(Premissas!$B$24:$D$24,Premissas!$C$30)-INDEX(Premissas!$B$23:$D$23,Premissas!$C$30))*(A15-1)/11,0)</f>
        <v/>
      </c>
      <c r="C15" s="22">
        <f>ROUND(INDEX(Premissas!$B$25:$D$25,Premissas!$C$30)+(INDEX(Premissas!$B$26:$D$26,Premissas!$C$30)-INDEX(Premissas!$B$25:$D$25,Premissas!$C$30))*(A15-1)/11,0)</f>
        <v/>
      </c>
      <c r="D15" s="22">
        <f>ROUND(INDEX(Premissas!$B$27:$D$27,Premissas!$C$30)+(INDEX(Premissas!$B$28:$D$28,Premissas!$C$30)-INDEX(Premissas!$B$27:$D$27,Premissas!$C$30))*(A15-1)/11,0)</f>
        <v/>
      </c>
      <c r="E15" s="23">
        <f>B15*Premissas!$B$17+C15*Premissas!$B$18+D15*Premissas!$B$19</f>
        <v/>
      </c>
      <c r="F15" s="24">
        <f>Premissas!$D$14</f>
        <v/>
      </c>
      <c r="G15" s="23">
        <f>E15-F15</f>
        <v/>
      </c>
      <c r="H15" s="23">
        <f>H14+G15</f>
        <v/>
      </c>
      <c r="I15" s="25">
        <f>IF(G15&gt;=0,1,0)</f>
        <v/>
      </c>
      <c r="J15" s="25">
        <f>IF(H15&gt;=0,1,0)</f>
        <v/>
      </c>
    </row>
    <row r="16">
      <c r="A16" s="6" t="n">
        <v>12</v>
      </c>
      <c r="B16" s="22">
        <f>ROUND(INDEX(Premissas!$B$23:$D$23,Premissas!$C$30)+(INDEX(Premissas!$B$24:$D$24,Premissas!$C$30)-INDEX(Premissas!$B$23:$D$23,Premissas!$C$30))*(A16-1)/11,0)</f>
        <v/>
      </c>
      <c r="C16" s="22">
        <f>ROUND(INDEX(Premissas!$B$25:$D$25,Premissas!$C$30)+(INDEX(Premissas!$B$26:$D$26,Premissas!$C$30)-INDEX(Premissas!$B$25:$D$25,Premissas!$C$30))*(A16-1)/11,0)</f>
        <v/>
      </c>
      <c r="D16" s="22">
        <f>ROUND(INDEX(Premissas!$B$27:$D$27,Premissas!$C$30)+(INDEX(Premissas!$B$28:$D$28,Premissas!$C$30)-INDEX(Premissas!$B$27:$D$27,Premissas!$C$30))*(A16-1)/11,0)</f>
        <v/>
      </c>
      <c r="E16" s="23">
        <f>B16*Premissas!$B$17+C16*Premissas!$B$18+D16*Premissas!$B$19</f>
        <v/>
      </c>
      <c r="F16" s="24">
        <f>Premissas!$D$14</f>
        <v/>
      </c>
      <c r="G16" s="23">
        <f>E16-F16</f>
        <v/>
      </c>
      <c r="H16" s="23">
        <f>H15+G16</f>
        <v/>
      </c>
      <c r="I16" s="25">
        <f>IF(G16&gt;=0,1,0)</f>
        <v/>
      </c>
      <c r="J16" s="25">
        <f>IF(H16&gt;=0,1,0)</f>
        <v/>
      </c>
    </row>
    <row r="17">
      <c r="A17" s="12" t="inlineStr">
        <is>
          <t>Total 12 meses</t>
        </is>
      </c>
      <c r="B17" s="2" t="n"/>
      <c r="C17" s="2" t="n"/>
      <c r="D17" s="2" t="n"/>
      <c r="E17" s="13">
        <f>SUM(E5:E16)</f>
        <v/>
      </c>
      <c r="F17" s="13">
        <f>SUM(F5:F16)</f>
        <v/>
      </c>
      <c r="G17" s="13">
        <f>SUM(G5:G16)</f>
        <v/>
      </c>
      <c r="H17" s="2" t="n"/>
      <c r="I17" s="2" t="n"/>
      <c r="J17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Fontes e observações</t>
        </is>
      </c>
    </row>
    <row r="2">
      <c r="A2" s="2" t="n"/>
    </row>
    <row r="3" ht="32" customHeight="1">
      <c r="A3" s="26" t="inlineStr">
        <is>
          <t>Pesquisa de mercado feita pelo grupo em 2026, Goiânia: landing page R$ 1.500 a 3.500; site institucional R$ 1.500 a 8.000; freela R$ 80 a 120 por hora; domínio .com.br R$ 40 a 100 por ano; hospedagem R$ 50 a 300 por mês.</t>
        </is>
      </c>
    </row>
    <row r="4" ht="32" customHeight="1">
      <c r="A4" s="26" t="inlineStr">
        <is>
          <t>Proposta do grupo para os slides: Fase 1 (MVP) R$ 4.000 a 6.000; Fase 2 (plataforma completa) mais R$ 8.000 a 12.000; custo mensal de R$ 800 a 1.200.</t>
        </is>
      </c>
    </row>
    <row r="5" ht="32" customHeight="1">
      <c r="A5" s="26" t="inlineStr">
        <is>
          <t>Modelo de receita do grupo: gestante grátis ou Premium R$ 14,90 por mês; nutricionista Básico grátis, Pro R$ 79 por mês, Clínica R$ 199 por mês.</t>
        </is>
      </c>
    </row>
    <row r="6" ht="32" customHeight="1">
      <c r="A6" s="26" t="inlineStr">
        <is>
          <t>Marketing digital (R$ 200 por mês) e os números de assinantes de cada cenário são hipóteses do grupo, não dados de mercado. Ajuste na aba Premissas.</t>
        </is>
      </c>
    </row>
    <row r="7" ht="32" customHeight="1">
      <c r="A7" s="26" t="inlineStr">
        <is>
          <t>Não inclui impostos nem taxas de pagamento (cartão ou Pix). Para um plano de negócios completo, some essas despesas.</t>
        </is>
      </c>
    </row>
    <row r="8" ht="32" customHeight="1">
      <c r="A8" s="26" t="inlineStr">
        <is>
          <t>Protótipo acadêmico do projeto Materno Infantil, disciplina de Economia e Marketing, Facunicamps.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2026-10-27T17:40:57Z</dcterms:created>
  <dcterms:modified xsi:type="dcterms:W3CDTF">2026-10-27T17:40:57Z</dcterms:modified>
</cp:coreProperties>
</file>